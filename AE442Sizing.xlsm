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16"/>
  <workbookPr defaultThemeVersion="166925"/>
  <xr:revisionPtr revIDLastSave="0" documentId="8_{F377BE71-8974-4805-A552-F3C0D5DA6D9F}" xr6:coauthVersionLast="45" xr6:coauthVersionMax="45" xr10:uidLastSave="{00000000-0000-0000-0000-000000000000}"/>
  <bookViews>
    <workbookView xWindow="0" yWindow="0" windowWidth="16384" windowHeight="8192" tabRatio="500" xr2:uid="{00000000-000D-0000-FFFF-FFFF00000000}"/>
  </bookViews>
  <sheets>
    <sheet name="Sheet1" sheetId="1" r:id="rId1"/>
  </sheets>
  <calcPr calcId="191028" iterateDelta="1E-4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49" i="1" l="1"/>
  <c r="E46" i="1"/>
  <c r="E134" i="1"/>
  <c r="E130" i="1"/>
  <c r="E198" i="1"/>
  <c r="E197" i="1"/>
  <c r="E161" i="1"/>
  <c r="E162" i="1" s="1"/>
  <c r="E140" i="1"/>
  <c r="E117" i="1"/>
  <c r="E102" i="1"/>
  <c r="E103" i="1" s="1"/>
  <c r="E100" i="1"/>
  <c r="E101" i="1" s="1"/>
  <c r="E107" i="1" s="1"/>
  <c r="E90" i="1"/>
  <c r="E89" i="1"/>
  <c r="E87" i="1"/>
  <c r="E82" i="1"/>
  <c r="E81" i="1"/>
  <c r="E57" i="1"/>
  <c r="E43" i="1"/>
  <c r="E35" i="1"/>
  <c r="E36" i="1" s="1"/>
  <c r="E34" i="1"/>
  <c r="E29" i="1"/>
  <c r="E170" i="1" s="1"/>
  <c r="E25" i="1"/>
  <c r="E23" i="1"/>
  <c r="E171" i="1" s="1"/>
  <c r="E21" i="1"/>
  <c r="E20" i="1"/>
  <c r="E199" i="1" l="1"/>
  <c r="E188" i="1"/>
  <c r="E153" i="1"/>
  <c r="E22" i="1"/>
  <c r="E192" i="1" s="1"/>
  <c r="E206" i="1" s="1"/>
  <c r="E77" i="1"/>
  <c r="E70" i="1"/>
  <c r="E71" i="1" s="1"/>
  <c r="E121" i="1" s="1"/>
  <c r="E123" i="1" s="1"/>
  <c r="E53" i="1"/>
  <c r="E52" i="1"/>
  <c r="E39" i="1"/>
  <c r="E190" i="1"/>
  <c r="E60" i="1"/>
  <c r="E61" i="1" s="1"/>
  <c r="E96" i="1" s="1"/>
  <c r="E59" i="1"/>
  <c r="E142" i="1" s="1"/>
  <c r="E84" i="1"/>
  <c r="E83" i="1"/>
  <c r="E85" i="1" s="1"/>
  <c r="E92" i="1"/>
  <c r="E91" i="1"/>
  <c r="E93" i="1" s="1"/>
  <c r="E95" i="1" s="1"/>
  <c r="E127" i="1" s="1"/>
  <c r="E158" i="1"/>
  <c r="E105" i="1"/>
  <c r="E106" i="1" s="1"/>
  <c r="E108" i="1" s="1"/>
  <c r="E104" i="1"/>
  <c r="E109" i="1" s="1"/>
  <c r="E160" i="1" s="1"/>
  <c r="E200" i="1"/>
  <c r="E159" i="1" l="1"/>
  <c r="E110" i="1"/>
  <c r="E111" i="1" s="1"/>
  <c r="E112" i="1" s="1"/>
  <c r="E41" i="1"/>
  <c r="E42" i="1" s="1"/>
  <c r="E40" i="1"/>
  <c r="E131" i="1"/>
  <c r="E78" i="1"/>
  <c r="E135" i="1"/>
  <c r="E79" i="1"/>
  <c r="E98" i="1" s="1"/>
  <c r="E99" i="1" s="1"/>
  <c r="E114" i="1" s="1"/>
  <c r="E164" i="1"/>
  <c r="E202" i="1"/>
  <c r="E3" i="1" s="1"/>
  <c r="E15" i="1" s="1"/>
  <c r="E166" i="1" l="1"/>
  <c r="E174" i="1"/>
  <c r="E2" i="1" s="1"/>
  <c r="E16" i="1" s="1"/>
  <c r="E179" i="1" l="1"/>
  <c r="E181" i="1" s="1"/>
  <c r="E184" i="1" s="1"/>
  <c r="E143" i="1" s="1"/>
  <c r="E145" i="1" s="1"/>
  <c r="E146" i="1" s="1"/>
  <c r="E178" i="1"/>
  <c r="E165" i="1"/>
  <c r="E148" i="1" l="1"/>
  <c r="E26" i="1" s="1"/>
  <c r="E17" i="1" s="1"/>
</calcChain>
</file>

<file path=xl/sharedStrings.xml><?xml version="1.0" encoding="utf-8"?>
<sst xmlns="http://schemas.openxmlformats.org/spreadsheetml/2006/main" count="307" uniqueCount="198">
  <si>
    <t>Input</t>
  </si>
  <si>
    <t>Reference</t>
  </si>
  <si>
    <t>A-10</t>
  </si>
  <si>
    <t>From Another Cell</t>
  </si>
  <si>
    <t xml:space="preserve">Range </t>
  </si>
  <si>
    <t>nm</t>
  </si>
  <si>
    <t>Guess</t>
  </si>
  <si>
    <t>BFL</t>
  </si>
  <si>
    <t>ft</t>
  </si>
  <si>
    <t>Section Header</t>
  </si>
  <si>
    <t>Seed Input</t>
  </si>
  <si>
    <t xml:space="preserve">Range Requirement </t>
  </si>
  <si>
    <t>To Find</t>
  </si>
  <si>
    <t xml:space="preserve">BFL  Requirement </t>
  </si>
  <si>
    <t>TODO</t>
  </si>
  <si>
    <t>USE YOUR OWN</t>
  </si>
  <si>
    <t>Iterations</t>
  </si>
  <si>
    <t>Wing Area</t>
  </si>
  <si>
    <t>sq ft</t>
  </si>
  <si>
    <t>AR</t>
  </si>
  <si>
    <t>FN Guess</t>
  </si>
  <si>
    <t>lb</t>
  </si>
  <si>
    <t>W Fuel Guess</t>
  </si>
  <si>
    <t>Delta Weight Guess</t>
  </si>
  <si>
    <t>FN Calc</t>
  </si>
  <si>
    <t>W Fuel Calc</t>
  </si>
  <si>
    <t>Delta Weight Calc</t>
  </si>
  <si>
    <t>Macro Configs</t>
  </si>
  <si>
    <t>Working Col</t>
  </si>
  <si>
    <t>Setup</t>
  </si>
  <si>
    <t>E</t>
  </si>
  <si>
    <t>MRamp (Max Ramp Weight)</t>
  </si>
  <si>
    <t>Precision</t>
  </si>
  <si>
    <t>MZFW (Max Zero Fuel Weight)</t>
  </si>
  <si>
    <t>MLDW (Max Landing Weight)</t>
  </si>
  <si>
    <t>DimX (AR)</t>
  </si>
  <si>
    <t>W Fuel</t>
  </si>
  <si>
    <t>RangeX_min</t>
  </si>
  <si>
    <t>Delta Weight Input</t>
  </si>
  <si>
    <t>RangeX_max</t>
  </si>
  <si>
    <t>Seed Empty Weight</t>
  </si>
  <si>
    <t>RangeX_step</t>
  </si>
  <si>
    <t>Empty Weight</t>
  </si>
  <si>
    <t>Payload Weight</t>
  </si>
  <si>
    <t>DimY (AREA)</t>
  </si>
  <si>
    <t>Maximum Payload Weight</t>
  </si>
  <si>
    <t>AREA</t>
  </si>
  <si>
    <t>RangeY_min</t>
  </si>
  <si>
    <t xml:space="preserve">Wing </t>
  </si>
  <si>
    <t>RangeY_max</t>
  </si>
  <si>
    <t>Span (ref)</t>
  </si>
  <si>
    <t>Span Overall</t>
  </si>
  <si>
    <t>RangeY_step</t>
  </si>
  <si>
    <t>C/4 Sweep</t>
  </si>
  <si>
    <t>deg</t>
  </si>
  <si>
    <t>Taper</t>
  </si>
  <si>
    <t>Data_Location</t>
  </si>
  <si>
    <t>Croot</t>
  </si>
  <si>
    <t>in</t>
  </si>
  <si>
    <t>/home/mo/School/AE442/HW7/data</t>
  </si>
  <si>
    <t>MAC</t>
  </si>
  <si>
    <t>Ctip</t>
  </si>
  <si>
    <t>Wing Area Check</t>
  </si>
  <si>
    <t>Fuselage</t>
  </si>
  <si>
    <t>Length</t>
  </si>
  <si>
    <t>Diameter</t>
  </si>
  <si>
    <t>Nose Cone</t>
  </si>
  <si>
    <t>Tail Cone</t>
  </si>
  <si>
    <t>Htail</t>
  </si>
  <si>
    <t>Vtail</t>
  </si>
  <si>
    <t>N engines</t>
  </si>
  <si>
    <t>Takeoff Thrust (SL-ISA)</t>
  </si>
  <si>
    <t>T/W IPPS</t>
  </si>
  <si>
    <t>lb/lb</t>
  </si>
  <si>
    <t>W IPPS</t>
  </si>
  <si>
    <t>Fan Diameter</t>
  </si>
  <si>
    <t>Nacelle Diameter</t>
  </si>
  <si>
    <t>Nacelle Length</t>
  </si>
  <si>
    <t>SFC</t>
  </si>
  <si>
    <t>lb/lb-hr</t>
  </si>
  <si>
    <t>Ultimate Load</t>
  </si>
  <si>
    <t>NULT</t>
  </si>
  <si>
    <t>T/C Ave</t>
  </si>
  <si>
    <t>Elastic Axis Sweep</t>
  </si>
  <si>
    <t>EA Sweep</t>
  </si>
  <si>
    <t>Wing Structural Weight</t>
  </si>
  <si>
    <t>Wing Stuffed Weight</t>
  </si>
  <si>
    <t>Wetted Area</t>
  </si>
  <si>
    <t>Wing</t>
  </si>
  <si>
    <t>diamter/2</t>
  </si>
  <si>
    <t>r Nose</t>
  </si>
  <si>
    <t>Use eq on spreadsheet</t>
  </si>
  <si>
    <t>h Nose</t>
  </si>
  <si>
    <t>R</t>
  </si>
  <si>
    <t>D</t>
  </si>
  <si>
    <t>Tangent Ogive Area Nose</t>
  </si>
  <si>
    <t>sqft</t>
  </si>
  <si>
    <t>Barrel Section Area</t>
  </si>
  <si>
    <t>Use equations</t>
  </si>
  <si>
    <t>r Tail</t>
  </si>
  <si>
    <t>h Tail</t>
  </si>
  <si>
    <t>Tangent Ogive Area Tail</t>
  </si>
  <si>
    <t>Nacelle</t>
  </si>
  <si>
    <t>Total Wetted Area</t>
  </si>
  <si>
    <t>Swet/Sref</t>
  </si>
  <si>
    <t>Theta</t>
  </si>
  <si>
    <t>T ( R )</t>
  </si>
  <si>
    <t>Theta_ISA</t>
  </si>
  <si>
    <t>Delta</t>
  </si>
  <si>
    <t>P</t>
  </si>
  <si>
    <t>Sigma</t>
  </si>
  <si>
    <t>p</t>
  </si>
  <si>
    <t>u</t>
  </si>
  <si>
    <t>v</t>
  </si>
  <si>
    <t>a</t>
  </si>
  <si>
    <t>Re/ft</t>
  </si>
  <si>
    <t>1/ft</t>
  </si>
  <si>
    <t>Re</t>
  </si>
  <si>
    <t>Cf calculated (re)</t>
  </si>
  <si>
    <t xml:space="preserve">cf (typical from Seed (cf = 0.0030)) </t>
  </si>
  <si>
    <t>Cdo</t>
  </si>
  <si>
    <t>Seed K</t>
  </si>
  <si>
    <t>Get this from speficifcations</t>
  </si>
  <si>
    <t>Seed AR</t>
  </si>
  <si>
    <t>K</t>
  </si>
  <si>
    <t>Delta Weights</t>
  </si>
  <si>
    <t>Wing Weight</t>
  </si>
  <si>
    <t>Seed Wing Weight</t>
  </si>
  <si>
    <t>Delta Wing Weight</t>
  </si>
  <si>
    <t>Fuselage Weight Trade</t>
  </si>
  <si>
    <t>lb/sq ft</t>
  </si>
  <si>
    <t>Seed Fuse Wetted Area</t>
  </si>
  <si>
    <t>Delta Fuselage Weight</t>
  </si>
  <si>
    <t>HTail Area Weight Trade</t>
  </si>
  <si>
    <t>Seed HTail Area</t>
  </si>
  <si>
    <t>Delta Htail weight</t>
  </si>
  <si>
    <t>VTail Area Weight Trade</t>
  </si>
  <si>
    <t>Seed VTail Area</t>
  </si>
  <si>
    <t>Delta Vtail Weight</t>
  </si>
  <si>
    <t>IPPS (Integrated Power Plant system)</t>
  </si>
  <si>
    <t>Seed Takeoff thrust</t>
  </si>
  <si>
    <t>Seed T/W IPPS</t>
  </si>
  <si>
    <t>Seed Engine Weight</t>
  </si>
  <si>
    <t>TO Weight IPPS</t>
  </si>
  <si>
    <t>Climb Weight IPPS</t>
  </si>
  <si>
    <t>Engine Weight</t>
  </si>
  <si>
    <t>Delta Engine Weight</t>
  </si>
  <si>
    <t>Delta Weight</t>
  </si>
  <si>
    <t>Performance</t>
  </si>
  <si>
    <t>W at Top of Climb (TOC) /MRamp</t>
  </si>
  <si>
    <t>Top of Climb  Weight (WTOC)</t>
  </si>
  <si>
    <t>Altitude</t>
  </si>
  <si>
    <t>DISA</t>
  </si>
  <si>
    <t>idk</t>
  </si>
  <si>
    <t>Mach</t>
  </si>
  <si>
    <t>q</t>
  </si>
  <si>
    <t>psf</t>
  </si>
  <si>
    <t>KTAS</t>
  </si>
  <si>
    <t>knots</t>
  </si>
  <si>
    <t>VTAS</t>
  </si>
  <si>
    <t>fps</t>
  </si>
  <si>
    <t>delta (P/P0)</t>
  </si>
  <si>
    <t>CL</t>
  </si>
  <si>
    <t>CD</t>
  </si>
  <si>
    <t>L/D</t>
  </si>
  <si>
    <t>Reserve Ratio</t>
  </si>
  <si>
    <t>Reserve Weight</t>
  </si>
  <si>
    <t>Useable Fuel</t>
  </si>
  <si>
    <t>K Range</t>
  </si>
  <si>
    <t>Range</t>
  </si>
  <si>
    <t>TOC Climb ROC</t>
  </si>
  <si>
    <t>fpm</t>
  </si>
  <si>
    <t>Cruise Drag</t>
  </si>
  <si>
    <t>TOC Thrust Req</t>
  </si>
  <si>
    <t>TOC Thrust/ Engine</t>
  </si>
  <si>
    <t>Thrust Lapse</t>
  </si>
  <si>
    <t>lb/ft</t>
  </si>
  <si>
    <t>TO thrust Equivalent</t>
  </si>
  <si>
    <t>KTO</t>
  </si>
  <si>
    <t>Wing Loading</t>
  </si>
  <si>
    <t>CLMAx</t>
  </si>
  <si>
    <t>T/W</t>
  </si>
  <si>
    <t>Wind Loading Landing</t>
  </si>
  <si>
    <t>Descent Clearance</t>
  </si>
  <si>
    <t>C</t>
  </si>
  <si>
    <t>CELLS BELOW ARE NOT USED FOR ITERATION</t>
  </si>
  <si>
    <t>Landing</t>
  </si>
  <si>
    <t>WLanding/WTO</t>
  </si>
  <si>
    <t>CLMax Landing</t>
  </si>
  <si>
    <t>Wland/S</t>
  </si>
  <si>
    <t>K Landing</t>
  </si>
  <si>
    <t>Sair (Landing Air Distance)</t>
  </si>
  <si>
    <t>Mu</t>
  </si>
  <si>
    <t>Slanding</t>
  </si>
  <si>
    <t>Landing Req</t>
  </si>
  <si>
    <t>Calc Max Landing Weight</t>
  </si>
  <si>
    <t>Calc Max Landing Weight Frac</t>
  </si>
  <si>
    <t>Calc Max Landing Weight Wing Loading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</si>
</sst>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FF0000"/>
        <bgColor rgb="FF993300"/>
      </patternFill>
    </fill>
    <fill>
      <patternFill patternType="solid">
        <fgColor rgb="FFFFC000"/>
        <bgColor rgb="FFFF9900"/>
      </patternFill>
    </fill>
    <fill>
      <patternFill patternType="solid">
        <fgColor rgb="FF00B0F0"/>
        <bgColor rgb="FF33CCCC"/>
      </patternFill>
    </fill>
    <fill>
      <patternFill patternType="solid">
        <fgColor rgb="FFDDEBF7"/>
        <bgColor rgb="FFD9E1F2"/>
      </patternFill>
    </fill>
    <fill>
      <patternFill patternType="solid">
        <fgColor rgb="FF7030A0"/>
        <bgColor rgb="FF993366"/>
      </patternFill>
    </fill>
    <fill>
      <patternFill patternType="solid">
        <fgColor rgb="FFD9E1F2"/>
        <bgColor rgb="FFDDEBF7"/>
      </patternFill>
    </fill>
    <fill>
      <patternFill patternType="solid">
        <fgColor rgb="FFC659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2" borderId="0" xfId="0" applyNumberFormat="1" applyFont="1" applyFill="1"/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4" borderId="0" xfId="0" applyFont="1" applyFill="1"/>
    <xf numFmtId="0" fontId="0" fillId="5" borderId="0" xfId="0" applyFont="1" applyFill="1"/>
    <xf numFmtId="0" fontId="0" fillId="6" borderId="0" xfId="0" applyFont="1" applyFill="1"/>
    <xf numFmtId="0" fontId="0" fillId="3" borderId="0" xfId="0" applyFont="1" applyFill="1"/>
    <xf numFmtId="0" fontId="0" fillId="2" borderId="0" xfId="0" applyFont="1" applyFill="1"/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6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0" fillId="0" borderId="2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0" xfId="0" applyFont="1" applyFill="1"/>
    <xf numFmtId="0" fontId="0" fillId="0" borderId="0" xfId="0" applyFill="1"/>
    <xf numFmtId="0" fontId="1" fillId="0" borderId="0" xfId="0" applyFont="1" applyFill="1"/>
    <xf numFmtId="0" fontId="0" fillId="0" borderId="5" xfId="0" applyFill="1" applyBorder="1"/>
    <xf numFmtId="0" fontId="0" fillId="0" borderId="7" xfId="0" applyFill="1" applyBorder="1"/>
    <xf numFmtId="0" fontId="0" fillId="0" borderId="9" xfId="0" applyFont="1" applyFill="1" applyBorder="1"/>
    <xf numFmtId="0" fontId="1" fillId="10" borderId="0" xfId="0" applyFont="1" applyFill="1"/>
    <xf numFmtId="0" fontId="0" fillId="10" borderId="0" xfId="0" applyFill="1"/>
    <xf numFmtId="0" fontId="0" fillId="11" borderId="0" xfId="0" applyFill="1"/>
    <xf numFmtId="0" fontId="0" fillId="11" borderId="0" xfId="0" applyFont="1" applyFill="1"/>
    <xf numFmtId="4" fontId="0" fillId="8" borderId="0" xfId="0" applyNumberFormat="1" applyFont="1" applyFill="1"/>
    <xf numFmtId="0" fontId="0" fillId="12" borderId="0" xfId="0" applyFill="1"/>
    <xf numFmtId="165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DDEBF7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22"/>
  <sheetViews>
    <sheetView tabSelected="1" topLeftCell="A179" zoomScaleNormal="100" workbookViewId="0">
      <selection activeCell="E207" sqref="E207"/>
    </sheetView>
  </sheetViews>
  <sheetFormatPr defaultColWidth="9.140625" defaultRowHeight="13.9"/>
  <cols>
    <col min="1" max="1" width="17.42578125" customWidth="1"/>
    <col min="2" max="2" width="8.5703125" customWidth="1"/>
    <col min="3" max="3" width="18.85546875" customWidth="1"/>
    <col min="4" max="4" width="8.5703125" style="23" customWidth="1"/>
    <col min="5" max="5" width="29.140625" customWidth="1"/>
    <col min="7" max="7" width="13.5703125" customWidth="1"/>
    <col min="8" max="8" width="17.42578125" customWidth="1"/>
    <col min="9" max="9" width="13.42578125" customWidth="1"/>
    <col min="10" max="10" width="8.5703125" customWidth="1"/>
    <col min="11" max="11" width="13.42578125" customWidth="1"/>
    <col min="12" max="64" width="8.5703125" customWidth="1"/>
  </cols>
  <sheetData>
    <row r="1" spans="1:16">
      <c r="A1" s="1" t="s">
        <v>0</v>
      </c>
      <c r="C1" s="2" t="s">
        <v>1</v>
      </c>
      <c r="E1" s="3" t="s">
        <v>2</v>
      </c>
    </row>
    <row r="2" spans="1:16">
      <c r="A2" s="4" t="s">
        <v>3</v>
      </c>
      <c r="C2" s="4" t="s">
        <v>4</v>
      </c>
      <c r="D2" s="23" t="s">
        <v>5</v>
      </c>
      <c r="E2" s="2">
        <f>E174</f>
        <v>900.03514951773104</v>
      </c>
    </row>
    <row r="3" spans="1:16" ht="15">
      <c r="A3" s="5" t="s">
        <v>6</v>
      </c>
      <c r="C3" s="4" t="s">
        <v>7</v>
      </c>
      <c r="D3" s="23" t="s">
        <v>8</v>
      </c>
      <c r="E3" s="2">
        <f>E202</f>
        <v>3999.8173587718984</v>
      </c>
    </row>
    <row r="4" spans="1:16">
      <c r="A4" s="6" t="s">
        <v>9</v>
      </c>
    </row>
    <row r="5" spans="1:16">
      <c r="A5" s="7" t="s">
        <v>10</v>
      </c>
      <c r="C5" s="8" t="s">
        <v>11</v>
      </c>
      <c r="D5" s="23" t="s">
        <v>5</v>
      </c>
      <c r="E5" s="9">
        <v>900</v>
      </c>
    </row>
    <row r="6" spans="1:16">
      <c r="A6" s="10" t="s">
        <v>12</v>
      </c>
      <c r="C6" s="8" t="s">
        <v>13</v>
      </c>
      <c r="D6" s="23" t="s">
        <v>8</v>
      </c>
      <c r="E6" s="9">
        <v>4000</v>
      </c>
      <c r="K6" s="34"/>
      <c r="M6" s="34"/>
      <c r="P6" s="35"/>
    </row>
    <row r="7" spans="1:16">
      <c r="A7" s="11" t="s">
        <v>14</v>
      </c>
      <c r="K7" s="2"/>
    </row>
    <row r="8" spans="1:16" ht="15">
      <c r="A8" s="28" t="s">
        <v>15</v>
      </c>
      <c r="C8" s="6" t="s">
        <v>16</v>
      </c>
      <c r="D8" s="22"/>
      <c r="K8" s="2"/>
    </row>
    <row r="9" spans="1:16">
      <c r="C9" s="8" t="s">
        <v>17</v>
      </c>
      <c r="D9" s="23" t="s">
        <v>18</v>
      </c>
      <c r="E9">
        <v>300</v>
      </c>
      <c r="K9" s="2"/>
    </row>
    <row r="10" spans="1:16">
      <c r="C10" s="8" t="s">
        <v>19</v>
      </c>
      <c r="E10">
        <v>3.7686000000000002</v>
      </c>
    </row>
    <row r="11" spans="1:16">
      <c r="C11" s="5" t="s">
        <v>20</v>
      </c>
      <c r="D11" s="23" t="s">
        <v>21</v>
      </c>
      <c r="E11" s="2">
        <v>17580.907251031716</v>
      </c>
    </row>
    <row r="12" spans="1:16">
      <c r="C12" s="5" t="s">
        <v>22</v>
      </c>
      <c r="D12" s="23" t="s">
        <v>21</v>
      </c>
      <c r="E12" s="2">
        <v>4380.4363074830762</v>
      </c>
    </row>
    <row r="13" spans="1:16">
      <c r="C13" s="5" t="s">
        <v>23</v>
      </c>
      <c r="D13" s="23" t="s">
        <v>21</v>
      </c>
      <c r="E13" s="2">
        <v>-2659.5308662649668</v>
      </c>
    </row>
    <row r="15" spans="1:16">
      <c r="C15" t="s">
        <v>24</v>
      </c>
      <c r="D15" s="23" t="s">
        <v>21</v>
      </c>
      <c r="E15">
        <f>E3/E6*E11</f>
        <v>17580.104501408849</v>
      </c>
    </row>
    <row r="16" spans="1:16">
      <c r="C16" t="s">
        <v>25</v>
      </c>
      <c r="D16" s="23" t="s">
        <v>21</v>
      </c>
      <c r="E16">
        <f>E5/E2*E171+E170</f>
        <v>4380.3166705062595</v>
      </c>
    </row>
    <row r="17" spans="1:5">
      <c r="C17" s="4" t="s">
        <v>26</v>
      </c>
      <c r="D17" s="23" t="s">
        <v>21</v>
      </c>
      <c r="E17">
        <f>E26</f>
        <v>-2659.7838910016062</v>
      </c>
    </row>
    <row r="18" spans="1:5">
      <c r="A18" s="13" t="s">
        <v>27</v>
      </c>
    </row>
    <row r="19" spans="1:5">
      <c r="A19" s="13" t="s">
        <v>28</v>
      </c>
      <c r="C19" s="6" t="s">
        <v>29</v>
      </c>
      <c r="D19" s="22"/>
    </row>
    <row r="20" spans="1:5">
      <c r="A20" t="s">
        <v>30</v>
      </c>
      <c r="C20" t="s">
        <v>31</v>
      </c>
      <c r="D20" s="23" t="s">
        <v>21</v>
      </c>
      <c r="E20" s="2">
        <f>E23+E29+E30</f>
        <v>30720.90544121811</v>
      </c>
    </row>
    <row r="21" spans="1:5">
      <c r="A21" s="13" t="s">
        <v>32</v>
      </c>
      <c r="C21" t="s">
        <v>33</v>
      </c>
      <c r="D21" s="23" t="s">
        <v>21</v>
      </c>
      <c r="E21" s="2">
        <f>E29+E31</f>
        <v>28340.469133735034</v>
      </c>
    </row>
    <row r="22" spans="1:5">
      <c r="A22">
        <v>8</v>
      </c>
      <c r="C22" t="s">
        <v>34</v>
      </c>
      <c r="D22" s="23" t="s">
        <v>21</v>
      </c>
      <c r="E22" s="2">
        <f>0.875*E20</f>
        <v>26880.792261065846</v>
      </c>
    </row>
    <row r="23" spans="1:5">
      <c r="A23" s="13" t="s">
        <v>35</v>
      </c>
      <c r="C23" s="4" t="s">
        <v>36</v>
      </c>
      <c r="D23" s="23" t="s">
        <v>21</v>
      </c>
      <c r="E23" s="2">
        <f>E12</f>
        <v>4380.4363074830762</v>
      </c>
    </row>
    <row r="24" spans="1:5">
      <c r="A24" t="s">
        <v>19</v>
      </c>
    </row>
    <row r="25" spans="1:5">
      <c r="A25" s="13" t="s">
        <v>37</v>
      </c>
      <c r="C25" s="4" t="s">
        <v>38</v>
      </c>
      <c r="D25" s="23" t="s">
        <v>21</v>
      </c>
      <c r="E25">
        <f>E13</f>
        <v>-2659.5308662649668</v>
      </c>
    </row>
    <row r="26" spans="1:5">
      <c r="A26">
        <v>4</v>
      </c>
      <c r="C26" s="4" t="s">
        <v>26</v>
      </c>
      <c r="D26" s="23" t="s">
        <v>21</v>
      </c>
      <c r="E26" s="2">
        <f>E148</f>
        <v>-2659.7838910016062</v>
      </c>
    </row>
    <row r="27" spans="1:5">
      <c r="A27" s="13" t="s">
        <v>39</v>
      </c>
    </row>
    <row r="28" spans="1:5">
      <c r="A28">
        <v>8</v>
      </c>
      <c r="C28" s="7" t="s">
        <v>40</v>
      </c>
      <c r="D28" s="23" t="s">
        <v>21</v>
      </c>
      <c r="E28">
        <v>25000</v>
      </c>
    </row>
    <row r="29" spans="1:5">
      <c r="A29" s="13" t="s">
        <v>41</v>
      </c>
      <c r="C29" t="s">
        <v>42</v>
      </c>
      <c r="D29" s="23" t="s">
        <v>21</v>
      </c>
      <c r="E29">
        <f>E28+E13</f>
        <v>22340.469133735034</v>
      </c>
    </row>
    <row r="30" spans="1:5">
      <c r="A30">
        <v>0.25</v>
      </c>
      <c r="C30" s="8" t="s">
        <v>43</v>
      </c>
      <c r="D30" s="23" t="s">
        <v>21</v>
      </c>
      <c r="E30">
        <v>4000</v>
      </c>
    </row>
    <row r="31" spans="1:5">
      <c r="A31" s="13" t="s">
        <v>44</v>
      </c>
      <c r="C31" s="8" t="s">
        <v>45</v>
      </c>
      <c r="D31" s="23" t="s">
        <v>21</v>
      </c>
      <c r="E31" s="9">
        <v>6000</v>
      </c>
    </row>
    <row r="32" spans="1:5">
      <c r="A32" t="s">
        <v>46</v>
      </c>
    </row>
    <row r="33" spans="1:5">
      <c r="A33" s="13" t="s">
        <v>47</v>
      </c>
      <c r="C33" t="s">
        <v>48</v>
      </c>
    </row>
    <row r="34" spans="1:5">
      <c r="A34">
        <v>400</v>
      </c>
      <c r="C34" s="4" t="s">
        <v>17</v>
      </c>
      <c r="D34" s="23" t="s">
        <v>18</v>
      </c>
      <c r="E34">
        <f>E9</f>
        <v>300</v>
      </c>
    </row>
    <row r="35" spans="1:5">
      <c r="A35" s="13" t="s">
        <v>49</v>
      </c>
      <c r="C35" t="s">
        <v>50</v>
      </c>
      <c r="D35" s="23" t="s">
        <v>8</v>
      </c>
      <c r="E35">
        <f>SQRT(E9*E10)</f>
        <v>33.624098500926387</v>
      </c>
    </row>
    <row r="36" spans="1:5">
      <c r="A36">
        <v>800</v>
      </c>
      <c r="C36" s="2" t="s">
        <v>51</v>
      </c>
      <c r="D36" s="23" t="s">
        <v>8</v>
      </c>
      <c r="E36" s="2">
        <f>1.04*E35</f>
        <v>34.969062440963441</v>
      </c>
    </row>
    <row r="37" spans="1:5">
      <c r="A37" s="13" t="s">
        <v>52</v>
      </c>
      <c r="C37" s="8" t="s">
        <v>53</v>
      </c>
      <c r="D37" s="23" t="s">
        <v>54</v>
      </c>
      <c r="E37" s="9">
        <v>0</v>
      </c>
    </row>
    <row r="38" spans="1:5">
      <c r="A38">
        <v>25</v>
      </c>
      <c r="C38" s="8" t="s">
        <v>55</v>
      </c>
      <c r="E38" s="9">
        <v>0.75</v>
      </c>
    </row>
    <row r="39" spans="1:5">
      <c r="A39" s="13" t="s">
        <v>56</v>
      </c>
      <c r="C39" t="s">
        <v>57</v>
      </c>
      <c r="D39" s="23" t="s">
        <v>58</v>
      </c>
      <c r="E39">
        <f>E34/E35*2/(1+E38)*12</f>
        <v>122.36122000928472</v>
      </c>
    </row>
    <row r="40" spans="1:5">
      <c r="A40" t="s">
        <v>59</v>
      </c>
      <c r="C40" t="s">
        <v>60</v>
      </c>
      <c r="D40" s="23" t="s">
        <v>58</v>
      </c>
      <c r="E40">
        <f>2/3*E39*((1+E38+E38^2)/(1+E38))</f>
        <v>107.79440810341748</v>
      </c>
    </row>
    <row r="41" spans="1:5">
      <c r="C41" t="s">
        <v>61</v>
      </c>
      <c r="D41" s="23" t="s">
        <v>58</v>
      </c>
      <c r="E41">
        <f>E39*E38</f>
        <v>91.770915006963548</v>
      </c>
    </row>
    <row r="42" spans="1:5">
      <c r="C42" t="s">
        <v>62</v>
      </c>
      <c r="D42" s="23" t="s">
        <v>18</v>
      </c>
      <c r="E42">
        <f>(E41+E39)/(2*12)*E35</f>
        <v>300</v>
      </c>
    </row>
    <row r="43" spans="1:5">
      <c r="C43" s="4" t="s">
        <v>19</v>
      </c>
      <c r="E43">
        <f>E10</f>
        <v>3.7686000000000002</v>
      </c>
    </row>
    <row r="45" spans="1:5">
      <c r="C45" t="s">
        <v>63</v>
      </c>
    </row>
    <row r="46" spans="1:5">
      <c r="C46" s="8" t="s">
        <v>64</v>
      </c>
      <c r="D46" s="23" t="s">
        <v>58</v>
      </c>
      <c r="E46" s="29">
        <f>43*12</f>
        <v>516</v>
      </c>
    </row>
    <row r="47" spans="1:5">
      <c r="C47" s="8" t="s">
        <v>65</v>
      </c>
      <c r="D47" s="23" t="s">
        <v>58</v>
      </c>
      <c r="E47" s="29">
        <v>52.164000000000001</v>
      </c>
    </row>
    <row r="48" spans="1:5">
      <c r="C48" s="8" t="s">
        <v>66</v>
      </c>
      <c r="D48" s="23" t="s">
        <v>58</v>
      </c>
      <c r="E48" s="29">
        <v>66.852000000000004</v>
      </c>
    </row>
    <row r="49" spans="2:5">
      <c r="C49" s="8" t="s">
        <v>67</v>
      </c>
      <c r="D49" s="23" t="s">
        <v>58</v>
      </c>
      <c r="E49" s="29">
        <f>5.909*12</f>
        <v>70.908000000000001</v>
      </c>
    </row>
    <row r="52" spans="2:5">
      <c r="C52" t="s">
        <v>68</v>
      </c>
      <c r="D52" s="23" t="s">
        <v>18</v>
      </c>
      <c r="E52">
        <f>0.25*E34</f>
        <v>75</v>
      </c>
    </row>
    <row r="53" spans="2:5">
      <c r="C53" t="s">
        <v>69</v>
      </c>
      <c r="D53" s="23" t="s">
        <v>18</v>
      </c>
      <c r="E53">
        <f>0.125*E34</f>
        <v>37.5</v>
      </c>
    </row>
    <row r="56" spans="2:5">
      <c r="C56" s="8" t="s">
        <v>70</v>
      </c>
      <c r="E56" s="29">
        <v>1</v>
      </c>
    </row>
    <row r="57" spans="2:5">
      <c r="C57" s="4" t="s">
        <v>71</v>
      </c>
      <c r="D57" s="23" t="s">
        <v>21</v>
      </c>
      <c r="E57" s="31">
        <f>E11</f>
        <v>17580.907251031716</v>
      </c>
    </row>
    <row r="58" spans="2:5">
      <c r="C58" s="8" t="s">
        <v>72</v>
      </c>
      <c r="D58" s="23" t="s">
        <v>73</v>
      </c>
      <c r="E58" s="29">
        <v>6.28</v>
      </c>
    </row>
    <row r="59" spans="2:5">
      <c r="B59" s="12">
        <v>1.8006944444444399</v>
      </c>
      <c r="C59" s="10" t="s">
        <v>74</v>
      </c>
      <c r="D59" s="23" t="s">
        <v>21</v>
      </c>
      <c r="E59" s="30">
        <f>E57/E58</f>
        <v>2799.5075240496362</v>
      </c>
    </row>
    <row r="60" spans="2:5">
      <c r="C60" t="s">
        <v>75</v>
      </c>
      <c r="D60" s="23" t="s">
        <v>58</v>
      </c>
      <c r="E60" s="2">
        <f>0.003176895*E57</f>
        <v>55.852696341266402</v>
      </c>
    </row>
    <row r="61" spans="2:5">
      <c r="B61" s="12">
        <v>1.7993055555555599</v>
      </c>
      <c r="C61" t="s">
        <v>76</v>
      </c>
      <c r="D61" s="23" t="s">
        <v>58</v>
      </c>
      <c r="E61" s="2">
        <f>E60+24</f>
        <v>79.852696341266409</v>
      </c>
    </row>
    <row r="62" spans="2:5">
      <c r="C62" s="8" t="s">
        <v>77</v>
      </c>
      <c r="D62" s="23" t="s">
        <v>58</v>
      </c>
      <c r="E62" s="9">
        <v>134.63999999999999</v>
      </c>
    </row>
    <row r="63" spans="2:5">
      <c r="C63" s="8" t="s">
        <v>78</v>
      </c>
      <c r="D63" s="23" t="s">
        <v>79</v>
      </c>
      <c r="E63" s="9">
        <v>0.36299999999999999</v>
      </c>
    </row>
    <row r="66" spans="2:5">
      <c r="B66" t="s">
        <v>80</v>
      </c>
      <c r="C66" s="8" t="s">
        <v>81</v>
      </c>
      <c r="E66" s="9">
        <v>8.25</v>
      </c>
    </row>
    <row r="67" spans="2:5">
      <c r="C67" s="8" t="s">
        <v>82</v>
      </c>
      <c r="E67" s="9">
        <v>0.16</v>
      </c>
    </row>
    <row r="68" spans="2:5">
      <c r="B68" t="s">
        <v>83</v>
      </c>
      <c r="C68" s="8" t="s">
        <v>84</v>
      </c>
      <c r="E68" s="9">
        <v>25</v>
      </c>
    </row>
    <row r="70" spans="2:5">
      <c r="C70" t="s">
        <v>85</v>
      </c>
      <c r="D70" s="23" t="s">
        <v>21</v>
      </c>
      <c r="E70" s="2">
        <f>4.22*E34+1.642*10^-6*((E66*E35^3*SQRT(E20*E21)*(1+2*E38))/(E67*(COS(RADIANS(E68)))^2*E34*(1+E38)))</f>
        <v>1816.5653456705786</v>
      </c>
    </row>
    <row r="71" spans="2:5">
      <c r="C71" t="s">
        <v>86</v>
      </c>
      <c r="D71" s="23" t="s">
        <v>21</v>
      </c>
      <c r="E71" s="2">
        <f>E70+E34</f>
        <v>2116.5653456705786</v>
      </c>
    </row>
    <row r="74" spans="2:5">
      <c r="C74" s="6" t="s">
        <v>87</v>
      </c>
      <c r="D74" s="22"/>
    </row>
    <row r="75" spans="2:5">
      <c r="E75" s="8">
        <v>2.0499999999999998</v>
      </c>
    </row>
    <row r="77" spans="2:5">
      <c r="C77" s="13" t="s">
        <v>88</v>
      </c>
      <c r="D77" s="24" t="s">
        <v>18</v>
      </c>
      <c r="E77" s="13">
        <f>E75*E34</f>
        <v>615</v>
      </c>
    </row>
    <row r="78" spans="2:5">
      <c r="C78" s="13" t="s">
        <v>68</v>
      </c>
      <c r="D78" s="24" t="s">
        <v>18</v>
      </c>
      <c r="E78" s="13">
        <f>E52*E75</f>
        <v>153.75</v>
      </c>
    </row>
    <row r="79" spans="2:5">
      <c r="C79" s="13" t="s">
        <v>69</v>
      </c>
      <c r="D79" s="24" t="s">
        <v>18</v>
      </c>
      <c r="E79" s="13">
        <f>E75*E53</f>
        <v>76.875</v>
      </c>
    </row>
    <row r="81" spans="2:5">
      <c r="B81" t="s">
        <v>89</v>
      </c>
      <c r="C81" t="s">
        <v>90</v>
      </c>
      <c r="D81" s="23" t="s">
        <v>58</v>
      </c>
      <c r="E81">
        <f>E47/2</f>
        <v>26.082000000000001</v>
      </c>
    </row>
    <row r="82" spans="2:5">
      <c r="B82" t="s">
        <v>91</v>
      </c>
      <c r="C82" s="4" t="s">
        <v>92</v>
      </c>
      <c r="D82" s="23" t="s">
        <v>58</v>
      </c>
      <c r="E82">
        <f>E48</f>
        <v>66.852000000000004</v>
      </c>
    </row>
    <row r="83" spans="2:5">
      <c r="C83" t="s">
        <v>93</v>
      </c>
      <c r="D83" s="23" t="s">
        <v>58</v>
      </c>
      <c r="E83">
        <f>(E82^2+E81^2)/(2*E81)</f>
        <v>98.716751552795046</v>
      </c>
    </row>
    <row r="84" spans="2:5">
      <c r="C84" t="s">
        <v>94</v>
      </c>
      <c r="D84" s="23" t="s">
        <v>58</v>
      </c>
      <c r="E84">
        <f>(E82^2-E81^2)/(2*E81)</f>
        <v>72.634751552795038</v>
      </c>
    </row>
    <row r="85" spans="2:5">
      <c r="C85" t="s">
        <v>95</v>
      </c>
      <c r="D85" s="23" t="s">
        <v>96</v>
      </c>
      <c r="E85">
        <f>2*PI()*E83*((E81-E83)*ASIN(E82/E83)+E82)/144</f>
        <v>55.195518997492826</v>
      </c>
    </row>
    <row r="87" spans="2:5">
      <c r="C87" t="s">
        <v>97</v>
      </c>
      <c r="D87" s="23" t="s">
        <v>18</v>
      </c>
      <c r="E87">
        <f>(E46-E48-E49)*E47*PI()/144</f>
        <v>430.45298291768023</v>
      </c>
    </row>
    <row r="89" spans="2:5">
      <c r="B89" t="s">
        <v>98</v>
      </c>
      <c r="C89" t="s">
        <v>99</v>
      </c>
      <c r="D89" s="23" t="s">
        <v>58</v>
      </c>
      <c r="E89">
        <f>E47/2</f>
        <v>26.082000000000001</v>
      </c>
    </row>
    <row r="90" spans="2:5">
      <c r="C90" s="4" t="s">
        <v>100</v>
      </c>
      <c r="D90" s="23" t="s">
        <v>58</v>
      </c>
      <c r="E90">
        <f>E49</f>
        <v>70.908000000000001</v>
      </c>
    </row>
    <row r="91" spans="2:5">
      <c r="C91" t="s">
        <v>93</v>
      </c>
      <c r="D91" s="23" t="s">
        <v>58</v>
      </c>
      <c r="E91" s="14">
        <f>(E90^2+E89^2)/(2*E89)</f>
        <v>109.4282491373361</v>
      </c>
    </row>
    <row r="92" spans="2:5">
      <c r="C92" t="s">
        <v>94</v>
      </c>
      <c r="D92" s="23" t="s">
        <v>58</v>
      </c>
      <c r="E92" s="2">
        <f>(E90^2-E89^2)/(2*E89)</f>
        <v>83.346249137336102</v>
      </c>
    </row>
    <row r="93" spans="2:5">
      <c r="C93" t="s">
        <v>101</v>
      </c>
      <c r="D93" s="23" t="s">
        <v>96</v>
      </c>
      <c r="E93">
        <f>2*PI()*E91*((E89-E91)*ASIN(E90/E91)+E90)/144</f>
        <v>58.032288589824219</v>
      </c>
    </row>
    <row r="95" spans="2:5">
      <c r="C95" s="13" t="s">
        <v>63</v>
      </c>
      <c r="D95" s="24" t="s">
        <v>18</v>
      </c>
      <c r="E95" s="13">
        <f>E93+E87+E85</f>
        <v>543.68079050499728</v>
      </c>
    </row>
    <row r="96" spans="2:5">
      <c r="C96" s="13" t="s">
        <v>102</v>
      </c>
      <c r="D96" s="24" t="s">
        <v>18</v>
      </c>
      <c r="E96" s="13">
        <f>E61*E62/144*PI()*E56*0.85*1.1</f>
        <v>219.31214357142551</v>
      </c>
    </row>
    <row r="98" spans="3:5">
      <c r="C98" s="13" t="s">
        <v>103</v>
      </c>
      <c r="D98" s="24" t="s">
        <v>18</v>
      </c>
      <c r="E98" s="13">
        <f>E96+E95+E79+E78+E77</f>
        <v>1608.6179340764229</v>
      </c>
    </row>
    <row r="99" spans="3:5">
      <c r="C99" t="s">
        <v>104</v>
      </c>
      <c r="E99">
        <f>E98/E34</f>
        <v>5.3620597802547429</v>
      </c>
    </row>
    <row r="100" spans="3:5">
      <c r="C100" s="15" t="s">
        <v>105</v>
      </c>
      <c r="E100">
        <f>IF(E155&lt;36089,1-0.00000687535*E155 + E156*(9/5)/518.67,0.75187 + E156*(9/5)/518.67)</f>
        <v>0.87624369999999996</v>
      </c>
    </row>
    <row r="101" spans="3:5">
      <c r="C101" s="16" t="s">
        <v>106</v>
      </c>
      <c r="E101">
        <f>518.67*E100</f>
        <v>454.48131987899995</v>
      </c>
    </row>
    <row r="102" spans="3:5">
      <c r="C102" s="16" t="s">
        <v>107</v>
      </c>
      <c r="E102">
        <f>IF(E155&lt;36089,1-(6.87535*10^-6)*E155, 0.75187)</f>
        <v>0.87624369999999996</v>
      </c>
    </row>
    <row r="103" spans="3:5">
      <c r="C103" s="17" t="s">
        <v>108</v>
      </c>
      <c r="E103">
        <f>IF(E155&lt;36089,E102^5.2561,0.22336*EXP((36089-E155)/20806.7))</f>
        <v>0.49937958210548988</v>
      </c>
    </row>
    <row r="104" spans="3:5">
      <c r="C104" s="17" t="s">
        <v>109</v>
      </c>
      <c r="E104">
        <f>E103*2116.22</f>
        <v>1056.7970592432796</v>
      </c>
    </row>
    <row r="105" spans="3:5">
      <c r="C105" s="17" t="s">
        <v>110</v>
      </c>
      <c r="E105">
        <f>E103/E100</f>
        <v>0.56990946936963982</v>
      </c>
    </row>
    <row r="106" spans="3:5">
      <c r="C106" s="17" t="s">
        <v>111</v>
      </c>
      <c r="E106">
        <f>E105*0.0023769</f>
        <v>1.3546178177446968E-3</v>
      </c>
    </row>
    <row r="107" spans="3:5">
      <c r="C107" s="17" t="s">
        <v>112</v>
      </c>
      <c r="E107">
        <f>(0.000000022697*E101^(3/2))/(E101+198.72)</f>
        <v>3.3666305521607976E-7</v>
      </c>
    </row>
    <row r="108" spans="3:5">
      <c r="C108" s="17" t="s">
        <v>113</v>
      </c>
      <c r="E108">
        <f>E107/E106</f>
        <v>2.4852991803739159E-4</v>
      </c>
    </row>
    <row r="109" spans="3:5">
      <c r="C109" s="18" t="s">
        <v>114</v>
      </c>
      <c r="E109">
        <f>SQRT(1.4*(E104/E106))</f>
        <v>1045.0845418756637</v>
      </c>
    </row>
    <row r="110" spans="3:5">
      <c r="C110" t="s">
        <v>115</v>
      </c>
      <c r="D110" s="23" t="s">
        <v>116</v>
      </c>
      <c r="E110">
        <f>(E160/E108)</f>
        <v>2035251.6198541536</v>
      </c>
    </row>
    <row r="111" spans="3:5">
      <c r="C111" t="s">
        <v>117</v>
      </c>
      <c r="E111">
        <f>E110*(E39/12)</f>
        <v>20752989.269268934</v>
      </c>
    </row>
    <row r="112" spans="3:5">
      <c r="C112" t="s">
        <v>118</v>
      </c>
      <c r="E112">
        <f>1.328/SQRT(E111)</f>
        <v>2.9151287744576932E-4</v>
      </c>
    </row>
    <row r="113" spans="2:5">
      <c r="C113" t="s">
        <v>119</v>
      </c>
      <c r="E113" s="2">
        <v>3.0000000000000001E-3</v>
      </c>
    </row>
    <row r="114" spans="2:5">
      <c r="C114" t="s">
        <v>120</v>
      </c>
      <c r="E114">
        <f>E113*E99</f>
        <v>1.6086179340764228E-2</v>
      </c>
    </row>
    <row r="115" spans="2:5">
      <c r="C115" s="7" t="s">
        <v>121</v>
      </c>
      <c r="E115">
        <v>0.06</v>
      </c>
    </row>
    <row r="116" spans="2:5">
      <c r="B116" t="s">
        <v>122</v>
      </c>
      <c r="C116" s="7" t="s">
        <v>123</v>
      </c>
      <c r="E116">
        <v>6.5339999999999998</v>
      </c>
    </row>
    <row r="117" spans="2:5">
      <c r="C117" s="7" t="s">
        <v>124</v>
      </c>
      <c r="E117">
        <f>E115*E116/E10</f>
        <v>0.10402802101576182</v>
      </c>
    </row>
    <row r="120" spans="2:5">
      <c r="C120" s="6" t="s">
        <v>125</v>
      </c>
      <c r="D120" s="22"/>
    </row>
    <row r="121" spans="2:5">
      <c r="C121" s="4" t="s">
        <v>126</v>
      </c>
      <c r="D121" s="23" t="s">
        <v>21</v>
      </c>
      <c r="E121" s="2">
        <f>E71</f>
        <v>2116.5653456705786</v>
      </c>
    </row>
    <row r="122" spans="2:5">
      <c r="C122" s="7" t="s">
        <v>127</v>
      </c>
      <c r="D122" s="23" t="s">
        <v>21</v>
      </c>
      <c r="E122" s="32">
        <v>3731.75</v>
      </c>
    </row>
    <row r="123" spans="2:5">
      <c r="C123" t="s">
        <v>128</v>
      </c>
      <c r="D123" s="23" t="s">
        <v>21</v>
      </c>
      <c r="E123">
        <f>E121-E122</f>
        <v>-1615.1846543294214</v>
      </c>
    </row>
    <row r="125" spans="2:5">
      <c r="C125" s="8" t="s">
        <v>129</v>
      </c>
      <c r="D125" s="23" t="s">
        <v>130</v>
      </c>
      <c r="E125" s="2">
        <v>3.95</v>
      </c>
    </row>
    <row r="126" spans="2:5">
      <c r="C126" s="7" t="s">
        <v>131</v>
      </c>
      <c r="D126" s="23" t="s">
        <v>18</v>
      </c>
      <c r="E126" s="10">
        <v>716.43610000000001</v>
      </c>
    </row>
    <row r="127" spans="2:5">
      <c r="C127" t="s">
        <v>132</v>
      </c>
      <c r="D127" s="23" t="s">
        <v>21</v>
      </c>
      <c r="E127">
        <f>(E95-E126)*E125</f>
        <v>-682.38347250526078</v>
      </c>
    </row>
    <row r="129" spans="3:5">
      <c r="C129" s="8" t="s">
        <v>133</v>
      </c>
      <c r="D129" s="23" t="s">
        <v>130</v>
      </c>
      <c r="E129" s="2">
        <v>3.5</v>
      </c>
    </row>
    <row r="130" spans="3:5">
      <c r="C130" s="7" t="s">
        <v>134</v>
      </c>
      <c r="D130" s="23" t="s">
        <v>18</v>
      </c>
      <c r="E130" s="10">
        <f>0.25*506</f>
        <v>126.5</v>
      </c>
    </row>
    <row r="131" spans="3:5">
      <c r="C131" t="s">
        <v>135</v>
      </c>
      <c r="D131" s="23" t="s">
        <v>21</v>
      </c>
      <c r="E131">
        <f>(E52-E130)*E129</f>
        <v>-180.25</v>
      </c>
    </row>
    <row r="133" spans="3:5">
      <c r="C133" s="8" t="s">
        <v>136</v>
      </c>
      <c r="D133" s="23" t="s">
        <v>130</v>
      </c>
      <c r="E133" s="2">
        <v>4.4749999999999996</v>
      </c>
    </row>
    <row r="134" spans="3:5">
      <c r="C134" s="7" t="s">
        <v>137</v>
      </c>
      <c r="D134" s="23" t="s">
        <v>18</v>
      </c>
      <c r="E134" s="10">
        <f>0.125*506</f>
        <v>63.25</v>
      </c>
    </row>
    <row r="135" spans="3:5">
      <c r="C135" t="s">
        <v>138</v>
      </c>
      <c r="D135" s="23" t="s">
        <v>21</v>
      </c>
      <c r="E135">
        <f>(E53-E134)*E133</f>
        <v>-115.23124999999999</v>
      </c>
    </row>
    <row r="137" spans="3:5">
      <c r="C137" t="s">
        <v>139</v>
      </c>
    </row>
    <row r="138" spans="3:5">
      <c r="C138" s="7" t="s">
        <v>140</v>
      </c>
      <c r="D138" s="23" t="s">
        <v>21</v>
      </c>
      <c r="E138" s="10">
        <v>18000</v>
      </c>
    </row>
    <row r="139" spans="3:5">
      <c r="C139" s="7" t="s">
        <v>141</v>
      </c>
      <c r="D139" s="23" t="s">
        <v>73</v>
      </c>
      <c r="E139" s="10">
        <v>6.28</v>
      </c>
    </row>
    <row r="140" spans="3:5">
      <c r="C140" s="7" t="s">
        <v>142</v>
      </c>
      <c r="D140" s="23" t="s">
        <v>21</v>
      </c>
      <c r="E140">
        <f>E138/E139</f>
        <v>2866.2420382165606</v>
      </c>
    </row>
    <row r="142" spans="3:5">
      <c r="C142" s="4" t="s">
        <v>143</v>
      </c>
      <c r="D142" s="23" t="s">
        <v>21</v>
      </c>
      <c r="E142">
        <f>E59</f>
        <v>2799.5075240496362</v>
      </c>
    </row>
    <row r="143" spans="3:5">
      <c r="C143" t="s">
        <v>144</v>
      </c>
      <c r="D143" s="23" t="s">
        <v>21</v>
      </c>
      <c r="E143">
        <f>E184/E58</f>
        <v>925.97086106938082</v>
      </c>
    </row>
    <row r="145" spans="3:5">
      <c r="C145" t="s">
        <v>145</v>
      </c>
      <c r="D145" s="23" t="s">
        <v>21</v>
      </c>
      <c r="E145">
        <f>MAX(E142,E143)</f>
        <v>2799.5075240496362</v>
      </c>
    </row>
    <row r="146" spans="3:5">
      <c r="C146" t="s">
        <v>146</v>
      </c>
      <c r="D146" s="23" t="s">
        <v>21</v>
      </c>
      <c r="E146" s="2">
        <f>(E145-E140)*E56</f>
        <v>-66.734514166924328</v>
      </c>
    </row>
    <row r="148" spans="3:5" ht="15">
      <c r="C148" t="s">
        <v>147</v>
      </c>
      <c r="D148" s="23" t="s">
        <v>21</v>
      </c>
      <c r="E148" s="2">
        <f>E123+E127+E131+E135+E146</f>
        <v>-2659.7838910016062</v>
      </c>
    </row>
    <row r="151" spans="3:5">
      <c r="C151" s="6" t="s">
        <v>148</v>
      </c>
      <c r="D151" s="22"/>
    </row>
    <row r="152" spans="3:5">
      <c r="C152" s="8" t="s">
        <v>149</v>
      </c>
      <c r="E152" s="9">
        <v>0.97</v>
      </c>
    </row>
    <row r="153" spans="3:5">
      <c r="C153" t="s">
        <v>150</v>
      </c>
      <c r="D153" s="23" t="s">
        <v>21</v>
      </c>
      <c r="E153">
        <f>E20*E152</f>
        <v>29799.278277981568</v>
      </c>
    </row>
    <row r="155" spans="3:5">
      <c r="C155" s="8" t="s">
        <v>151</v>
      </c>
      <c r="D155" s="23" t="s">
        <v>8</v>
      </c>
      <c r="E155">
        <v>18000</v>
      </c>
    </row>
    <row r="156" spans="3:5">
      <c r="C156" s="8" t="s">
        <v>152</v>
      </c>
      <c r="D156" s="23" t="s">
        <v>153</v>
      </c>
      <c r="E156">
        <v>0</v>
      </c>
    </row>
    <row r="157" spans="3:5">
      <c r="C157" s="8" t="s">
        <v>154</v>
      </c>
      <c r="E157">
        <v>0.48399999999999999</v>
      </c>
    </row>
    <row r="158" spans="3:5">
      <c r="C158" t="s">
        <v>155</v>
      </c>
      <c r="D158" s="23" t="s">
        <v>156</v>
      </c>
      <c r="E158">
        <f>1481.6519*E103*E157^2</f>
        <v>173.32758547248824</v>
      </c>
    </row>
    <row r="159" spans="3:5">
      <c r="C159" t="s">
        <v>157</v>
      </c>
      <c r="D159" s="23" t="s">
        <v>158</v>
      </c>
      <c r="E159">
        <f>E160*0.592484</f>
        <v>299.6908009389918</v>
      </c>
    </row>
    <row r="160" spans="3:5">
      <c r="C160" t="s">
        <v>159</v>
      </c>
      <c r="D160" s="23" t="s">
        <v>160</v>
      </c>
      <c r="E160">
        <f>E109*E157</f>
        <v>505.82091826782124</v>
      </c>
    </row>
    <row r="161" spans="3:5">
      <c r="C161" t="s">
        <v>107</v>
      </c>
      <c r="E161">
        <f>IF(E155&lt;36089,1-(6.87535*10^-6)*E155, 0.75187)</f>
        <v>0.87624369999999996</v>
      </c>
    </row>
    <row r="162" spans="3:5">
      <c r="C162" t="s">
        <v>161</v>
      </c>
      <c r="E162">
        <f>IF(E155&lt;36089,E161^5.2561,0.22336*EXP((36089-E155)/20806.7))</f>
        <v>0.49937958210548988</v>
      </c>
    </row>
    <row r="164" spans="3:5">
      <c r="C164" t="s">
        <v>162</v>
      </c>
      <c r="E164">
        <f>E153/(E158*E34)</f>
        <v>0.57308204762962212</v>
      </c>
    </row>
    <row r="165" spans="3:5">
      <c r="C165" t="s">
        <v>163</v>
      </c>
      <c r="E165">
        <f>E164*(1/(E166))</f>
        <v>5.0251377552554793E-2</v>
      </c>
    </row>
    <row r="166" spans="3:5">
      <c r="C166" t="s">
        <v>164</v>
      </c>
      <c r="E166">
        <f>(E153/(E158*E34*(E114+E117*E164^2)))</f>
        <v>11.404305225867116</v>
      </c>
    </row>
    <row r="169" spans="3:5">
      <c r="C169" s="8" t="s">
        <v>165</v>
      </c>
      <c r="E169">
        <v>0.05</v>
      </c>
    </row>
    <row r="170" spans="3:5">
      <c r="C170" t="s">
        <v>166</v>
      </c>
      <c r="D170" s="23" t="s">
        <v>21</v>
      </c>
      <c r="E170">
        <f>(E29+E30)*E169</f>
        <v>1317.0234566867518</v>
      </c>
    </row>
    <row r="171" spans="3:5">
      <c r="C171" t="s">
        <v>167</v>
      </c>
      <c r="D171" s="23" t="s">
        <v>21</v>
      </c>
      <c r="E171">
        <f>E23-E170</f>
        <v>3063.4128507963242</v>
      </c>
    </row>
    <row r="173" spans="3:5">
      <c r="C173" s="8" t="s">
        <v>168</v>
      </c>
      <c r="E173" s="2">
        <v>0.91</v>
      </c>
    </row>
    <row r="174" spans="3:5">
      <c r="C174" t="s">
        <v>169</v>
      </c>
      <c r="D174" s="23" t="s">
        <v>5</v>
      </c>
      <c r="E174">
        <f>(E173*E159*E166)/E63*LN(E20/(E20-E171))</f>
        <v>900.03514951773104</v>
      </c>
    </row>
    <row r="177" spans="3:5">
      <c r="C177" s="8" t="s">
        <v>170</v>
      </c>
      <c r="D177" s="23" t="s">
        <v>171</v>
      </c>
      <c r="E177" s="9">
        <v>300</v>
      </c>
    </row>
    <row r="178" spans="3:5">
      <c r="C178" t="s">
        <v>172</v>
      </c>
      <c r="D178" s="23" t="s">
        <v>21</v>
      </c>
      <c r="E178">
        <f>E153/E166</f>
        <v>2612.984981355215</v>
      </c>
    </row>
    <row r="179" spans="3:5">
      <c r="C179" t="s">
        <v>173</v>
      </c>
      <c r="D179" s="23" t="s">
        <v>21</v>
      </c>
      <c r="E179">
        <f>E153/E166+(E177/60)/(E160)*E153</f>
        <v>2907.548503757856</v>
      </c>
    </row>
    <row r="181" spans="3:5">
      <c r="C181" t="s">
        <v>174</v>
      </c>
      <c r="D181" s="23" t="s">
        <v>21</v>
      </c>
      <c r="E181">
        <f>E179/E56</f>
        <v>2907.548503757856</v>
      </c>
    </row>
    <row r="182" spans="3:5">
      <c r="C182" s="8" t="s">
        <v>175</v>
      </c>
      <c r="D182" s="23" t="s">
        <v>176</v>
      </c>
      <c r="E182" s="9">
        <v>0.5</v>
      </c>
    </row>
    <row r="184" spans="3:5">
      <c r="C184" t="s">
        <v>177</v>
      </c>
      <c r="D184" s="23" t="s">
        <v>21</v>
      </c>
      <c r="E184">
        <f>E181/E182</f>
        <v>5815.097007515712</v>
      </c>
    </row>
    <row r="187" spans="3:5">
      <c r="C187" s="8" t="s">
        <v>178</v>
      </c>
      <c r="E187" s="9">
        <v>38</v>
      </c>
    </row>
    <row r="188" spans="3:5">
      <c r="C188" t="s">
        <v>179</v>
      </c>
      <c r="D188" s="23" t="s">
        <v>156</v>
      </c>
      <c r="E188">
        <f>E20/E34</f>
        <v>102.4030181373937</v>
      </c>
    </row>
    <row r="189" spans="3:5">
      <c r="C189" s="8" t="s">
        <v>180</v>
      </c>
      <c r="E189" s="9">
        <v>1.7</v>
      </c>
    </row>
    <row r="190" spans="3:5">
      <c r="C190" t="s">
        <v>181</v>
      </c>
      <c r="E190">
        <f>E56*E57/E20</f>
        <v>0.57227829058200497</v>
      </c>
    </row>
    <row r="192" spans="3:5">
      <c r="C192" t="s">
        <v>182</v>
      </c>
      <c r="D192" s="23" t="s">
        <v>156</v>
      </c>
      <c r="E192">
        <f>E22/E34</f>
        <v>89.602640870219489</v>
      </c>
    </row>
    <row r="193" spans="3:5">
      <c r="C193" s="33" t="s">
        <v>183</v>
      </c>
      <c r="D193" s="23" t="s">
        <v>8</v>
      </c>
      <c r="E193">
        <v>50</v>
      </c>
    </row>
    <row r="195" spans="3:5">
      <c r="C195" s="8" t="s">
        <v>151</v>
      </c>
      <c r="D195" s="23" t="s">
        <v>8</v>
      </c>
      <c r="E195">
        <v>0</v>
      </c>
    </row>
    <row r="196" spans="3:5">
      <c r="C196" s="8" t="s">
        <v>152</v>
      </c>
      <c r="D196" s="23" t="s">
        <v>184</v>
      </c>
      <c r="E196">
        <v>0</v>
      </c>
    </row>
    <row r="197" spans="3:5">
      <c r="C197" s="2" t="s">
        <v>105</v>
      </c>
      <c r="E197">
        <f>IF(E195&lt;36089,1-0.00000687535*E195 + E196*(9/5)/518.67,0.75187 + E196*(9/5)/518.67)</f>
        <v>1</v>
      </c>
    </row>
    <row r="198" spans="3:5">
      <c r="C198" s="2" t="s">
        <v>107</v>
      </c>
      <c r="E198">
        <f>IF(E195&lt;36089,1-(6.87535*10^-6)*E195, 0.75187)</f>
        <v>1</v>
      </c>
    </row>
    <row r="199" spans="3:5">
      <c r="C199" s="2" t="s">
        <v>108</v>
      </c>
      <c r="E199">
        <f>IF(E195&lt;36089,E198^5.2561,0.22336*EXP((36089-E195)/20806.7))</f>
        <v>1</v>
      </c>
    </row>
    <row r="200" spans="3:5">
      <c r="C200" t="s">
        <v>110</v>
      </c>
      <c r="E200">
        <f>E199/E197</f>
        <v>1</v>
      </c>
    </row>
    <row r="202" spans="3:5">
      <c r="C202" t="s">
        <v>7</v>
      </c>
      <c r="D202" s="23" t="s">
        <v>8</v>
      </c>
      <c r="E202">
        <f>E187*E188/E189/E190/E200</f>
        <v>3999.8173587718984</v>
      </c>
    </row>
    <row r="205" spans="3:5">
      <c r="C205" t="s">
        <v>185</v>
      </c>
    </row>
    <row r="206" spans="3:5">
      <c r="C206" s="19" t="s">
        <v>186</v>
      </c>
      <c r="D206" s="25"/>
      <c r="E206">
        <f>(80*E192*(1/(E198*E189)) + E193)</f>
        <v>4266.5948644809168</v>
      </c>
    </row>
    <row r="207" spans="3:5">
      <c r="C207" s="20" t="s">
        <v>187</v>
      </c>
      <c r="D207" s="26"/>
    </row>
    <row r="208" spans="3:5">
      <c r="C208" s="20" t="s">
        <v>188</v>
      </c>
      <c r="D208" s="26"/>
    </row>
    <row r="209" spans="3:4">
      <c r="C209" s="20" t="s">
        <v>189</v>
      </c>
      <c r="D209" s="26" t="s">
        <v>156</v>
      </c>
    </row>
    <row r="210" spans="3:4">
      <c r="C210" s="20" t="s">
        <v>190</v>
      </c>
      <c r="D210" s="26"/>
    </row>
    <row r="211" spans="3:4">
      <c r="C211" s="20" t="s">
        <v>191</v>
      </c>
      <c r="D211" s="26" t="s">
        <v>8</v>
      </c>
    </row>
    <row r="212" spans="3:4">
      <c r="C212" s="20" t="s">
        <v>192</v>
      </c>
      <c r="D212" s="26"/>
    </row>
    <row r="213" spans="3:4">
      <c r="C213" s="20" t="s">
        <v>110</v>
      </c>
      <c r="D213" s="26"/>
    </row>
    <row r="214" spans="3:4">
      <c r="C214" s="20" t="s">
        <v>193</v>
      </c>
      <c r="D214" s="26" t="s">
        <v>8</v>
      </c>
    </row>
    <row r="215" spans="3:4">
      <c r="C215" s="20"/>
      <c r="D215" s="26"/>
    </row>
    <row r="216" spans="3:4">
      <c r="C216" s="20"/>
      <c r="D216" s="26"/>
    </row>
    <row r="217" spans="3:4">
      <c r="C217" s="20"/>
      <c r="D217" s="26"/>
    </row>
    <row r="218" spans="3:4">
      <c r="C218" s="20"/>
      <c r="D218" s="26"/>
    </row>
    <row r="219" spans="3:4">
      <c r="C219" s="20" t="s">
        <v>194</v>
      </c>
      <c r="D219" s="26" t="s">
        <v>8</v>
      </c>
    </row>
    <row r="220" spans="3:4">
      <c r="C220" s="20" t="s">
        <v>195</v>
      </c>
      <c r="D220" s="26" t="s">
        <v>21</v>
      </c>
    </row>
    <row r="221" spans="3:4">
      <c r="C221" s="20" t="s">
        <v>196</v>
      </c>
      <c r="D221" s="26"/>
    </row>
    <row r="222" spans="3:4">
      <c r="C222" s="21" t="s">
        <v>197</v>
      </c>
      <c r="D222" s="27" t="s">
        <v>130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Moy</dc:creator>
  <cp:keywords/>
  <dc:description/>
  <cp:lastModifiedBy/>
  <cp:revision>22</cp:revision>
  <dcterms:created xsi:type="dcterms:W3CDTF">2020-11-17T19:03:38Z</dcterms:created>
  <dcterms:modified xsi:type="dcterms:W3CDTF">2020-11-19T06:09:06Z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